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sxay\Documents\1st robot\"/>
    </mc:Choice>
  </mc:AlternateContent>
  <xr:revisionPtr revIDLastSave="0" documentId="8_{A4EF7766-1649-440C-9422-59C2D4BF1C1F}" xr6:coauthVersionLast="47" xr6:coauthVersionMax="47" xr10:uidLastSave="{00000000-0000-0000-0000-000000000000}"/>
  <bookViews>
    <workbookView xWindow="-110" yWindow="-110" windowWidth="19420" windowHeight="11020" xr2:uid="{5385AF8B-5E78-4C05-9C0A-C88B91E9E402}"/>
  </bookViews>
  <sheets>
    <sheet name="Feuil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1" l="1"/>
  <c r="C37" i="1"/>
  <c r="C44" i="1"/>
  <c r="C4" i="1"/>
  <c r="C6" i="1" s="1"/>
  <c r="C18" i="1"/>
  <c r="C13" i="1"/>
  <c r="C27" i="1"/>
</calcChain>
</file>

<file path=xl/sharedStrings.xml><?xml version="1.0" encoding="utf-8"?>
<sst xmlns="http://schemas.openxmlformats.org/spreadsheetml/2006/main" count="80" uniqueCount="74">
  <si>
    <t>servo motor</t>
  </si>
  <si>
    <t>motor</t>
  </si>
  <si>
    <t>founding</t>
  </si>
  <si>
    <t>total</t>
  </si>
  <si>
    <t>aliemntation</t>
  </si>
  <si>
    <t>servomotor</t>
  </si>
  <si>
    <t>raspberry</t>
  </si>
  <si>
    <t>cervo</t>
  </si>
  <si>
    <t>raspberry pi 5</t>
  </si>
  <si>
    <t>main cervo</t>
  </si>
  <si>
    <t>sensor</t>
  </si>
  <si>
    <t>STABILITY</t>
  </si>
  <si>
    <t>distance, obstacle</t>
  </si>
  <si>
    <t>future</t>
  </si>
  <si>
    <t>extern device (first my phone then i create one)</t>
  </si>
  <si>
    <t>use</t>
  </si>
  <si>
    <t>product</t>
  </si>
  <si>
    <t>price</t>
  </si>
  <si>
    <t>ref</t>
  </si>
  <si>
    <t>cable  material</t>
  </si>
  <si>
    <t>3d</t>
  </si>
  <si>
    <t>tools</t>
  </si>
  <si>
    <t>usb-A to usb-B</t>
  </si>
  <si>
    <t>sensor and oled screen</t>
  </si>
  <si>
    <t>dupont female-female</t>
  </si>
  <si>
    <t>https://www.amazon.fr/Dupont-Breadboard-Mâle-Femelle-Mâle-Mâle-Femelle-Femelle/dp/B0DFCT8RZ7/ref=sr_1_2_sspa?adgrpid=60932846374&amp;dib=eyJ2IjoiMSJ9.4-rNeFeeL5IDbcw6xttMNTxsXC6SLrKUkSwiPOOvHK6ed6XNTPTdhUddIl0ILd5fM54MRY21NwMuZjqLWKgtxmYBvziCtLQ0IarSX3PJdlHYwNf5xzbj0l8YfmVkeOR1Oez0ioZpfW82kAo1UFUT68H7uw3or7Wm7iPGcZuBD9Peas_fVNd41h0oNPoG22xlOXhIkoiQ3yPIg4CaO8Of76q0V-pmOZsHycse49ZmWHngn6jSbjx5cgjizo3JjeSn_9BOMZwhKWXnZ_Ebc7eHFhPTOVgEIv0k76rpw9f2OdY.DaLuZQRvERWOBHPeRmvPv28s7qqpDNGz9vwvinFH0hA&amp;dib_tag=se&amp;hvadid=799292278505&amp;hvdev=c&amp;hvexpln=0&amp;hvlocphy=9056376&amp;hvnetw=g&amp;hvocijid=15816688827743388238--&amp;hvqmt=b&amp;hvrand=15816688827743388238&amp;hvtargid=kwd-2471464198968&amp;hydadcr=4367_2326152&amp;keywords=cable+dupont+femelle+femelle+20cm&amp;mcid=70a66438fb053f0ca154c560ed49730a&amp;qid=1784146936&amp;sr=8-2-spons&amp;aref=v1hh6t5kyv&amp;sp_csd=d2lkZ2V0TmFtZT1zcF9hdGY&amp;psc=1</t>
  </si>
  <si>
    <t>SH1106 1.3</t>
  </si>
  <si>
    <t>https://www.amazon.fr/BildeeMait-daffichage-Interface-Contrast-Projects/dp/B0H3DZVWXW/ref=sr_1_1?__mk_fr_FR=ÅMÅŽÕÑ&amp;crid=1ND902S9AZFOF&amp;dib=eyJ2IjoiMSJ9.BWlxEL58HpuQkgih5GVxJw.tNMefXVo9mHk4T8X7T1EZGDFDKNQBKQcjwAqZoMaZ9E&amp;dib_tag=se&amp;keywords=screen+lSH1106+1.3&amp;qid=1784147156&amp;sprefix=screen+lsh1106+1.3%2Caps%2C123&amp;sr=8-1</t>
  </si>
  <si>
    <t>CNHL 3300mAh 11.1V 3S 40C avec prise XT60</t>
  </si>
  <si>
    <t>https://chinahobbyline.com/fr/products/cnhl-3300mah-11-1v-3s-40c-lipo-battery-with-xt60-plug?_pos=1&amp;_sid=f62e50312&amp;_ss=r</t>
  </si>
  <si>
    <t>rlipo charger</t>
  </si>
  <si>
    <t>https://www.amazon.fr/WANGCL-Chargeur-num%C3%A9rique-adaptateur-plomb-acide/dp/B0B3GM8KX9/ref=sr_1_1?adgrpid=63018066224&amp;dib=eyJ2IjoiMSJ9.8SfG9T59AZhLcYgBJ0wyieydr4VbboFNV79KHuh9ngqBVUQTkGm3URLWPV5tfhwcbWwUvB8Dbaw6gVaBPoyxcXWKvMP95myjaL2s0DB4N-5Nkf5X1PZOdYqq7CwWAlH6f_mLbdJRXrN3Izb8pKlYz-fWp1ARgIswNV6nnYI3z-i4QMIeniV9FC2Zu3YKDbmp7LcT8qtznQFLcimja5_fFXun7oZ3E6QoB4UEOdV6JlBb5ef9Bi2ZnOCw2f1wUDEYzuiHjaH2I2bk3FbS2yZ561Ax0mbD0AIfTwj0W_oN3BA.cQOZZd9AAx0v31Uux0XTlA5VzGj4snnhvCWjjnnvYCc&amp;dib_tag=se&amp;hvadid=499010703346&amp;hvdev=c&amp;hvexpln=0&amp;hvlocphy=9056376&amp;hvnetw=g&amp;hvocijid=15618825406571621855--&amp;hvqmt=e&amp;hvrand=15618825406571621855&amp;hvtargid=kwd-329235333524&amp;hydadcr=893_2493716&amp;keywords=imax+b6ac+v2&amp;mcid=b00d2729812231feb768ee4b6bdb884f&amp;qid=1784149373&amp;sr=8-1</t>
  </si>
  <si>
    <t>iMaxB6</t>
  </si>
  <si>
    <t>same as motor just a adaptation system see below</t>
  </si>
  <si>
    <t>adaptator rspPI5</t>
  </si>
  <si>
    <t>USB-PD 2.0/3.0 to 5V 5A converter board for RPi5</t>
  </si>
  <si>
    <t>https://www.tindie.com/products/regaldreamtech/usb-pd-2030-to-5v-5a-converter-board-for-rpi5/</t>
  </si>
  <si>
    <t>alarm battery protection help</t>
  </si>
  <si>
    <t>Testeur de Tension 1-8S Indicateur Basse Tension LED Rouge Alarme Reglable</t>
  </si>
  <si>
    <t>https://www.fnac.com/mp50250851/Testeur-de-Tension-1-8S-Indicateur-Basse-Tension-LED-Rouge-Alarme-Reglable-pour-Batterie-Lipo-3-7V-Compatible-Drones-Voitures-RC-Gris-Noir-Plastique/w-4?oref=fe90b927-26ab-257e-dd8e-924cb3e0c9e4&amp;Origin=CMP_GOOGLE_FL_JOUET</t>
  </si>
  <si>
    <t>raspbery cable waves bidule</t>
  </si>
  <si>
    <t>https://eu.ugreen.com/fr-fr/products/cable-ugreen-usb-a-vers-usb-c-en-nylon-tresse?_pos=1&amp;_sid=56c68fc04&amp;_ss=r</t>
  </si>
  <si>
    <t>multiplexer to make easier</t>
  </si>
  <si>
    <t>TCA9548A IIC 1,8 V - 5 V 8 canaux I2C</t>
  </si>
  <si>
    <t>https://www.amazon.fr/GERUI-cartes-d%C3%A9rivation-multiplexeur-TCA9548A/dp/B0F37Y8HWV/ref=sr_1_1?__mk_fr_FR=%C3%85M%C3%85%C5%BD%C3%95%C3%91&amp;crid=31BKDCG1A75O8&amp;dib=eyJ2IjoiMSJ9.39RdYhq796rUa1hmQbSVM5nTyrkZYy0xg3WK52CaZMYKKdGMf95TproMTYPgRYlD62_YDFHD4pajETiRhFOBRqvvmMvs3hBU0dQsNWdUtHj3HSbUaVX8UR2Q_0hfLS0UTnxup76vrbvlJUqRHkRyecE-4BdLvVMebieToqz0tpLwAt_mCLmm7eJw_KHXzzlZbiJx0g4aKqn5q8QQbJHKwxf2sWTogSms8Yh8fBI2ov2gpouPfMiLtpeg_c39zoJaX7Fmiw3188P2W5PEpRH5PpUrpqBPgIBmw1YnFkTdYQ8.VZqaTNt1bNF_JpYtU_-xO4ZZP-FrwE85MI7_704bRU8&amp;dib_tag=se&amp;keywords=Module+multiplexeur+I2C+DFR0576+%C3%A0+8+canaux+Module+multiplexeur+I2C+bas%C3%A9+sur+un+TCA9548A+permettant+de+raccorder+jusqu%27%C3%A0+8+capteurs+I2C+avec+la+m%C3%AAme+adresse+sur+le+m%C3%AAme+bus+I2C+d%27un+microcontr%C3%B4leur.+8%2C90+%E2%82%AC+TTC+7%2C42+%E2%82%AC+HT+Code+%3A+36123&amp;qid=1784153675&amp;sprefix=module+multiplexeur+i2c+dfr0576+%C3%A0+8+canaux+module+multiplexeur+i2c+bas%C3%A9+sur+un+tca9548a+permettant+de+raccorder+jusqu%27%C3%A0+8+capteurs+i2c+avec+la+m%C3%AAme+adresse+sur+le+m%C3%AAme+bus+i2c+d%27un+microcontr%C3%B4leur.+8%2C90+ttc+7%2C42+ht+code+36123%2Caps%2C199&amp;sr=8-1</t>
  </si>
  <si>
    <t>https://www.gotronic.fr/art-capteur-de-distance-tof-48876.htm</t>
  </si>
  <si>
    <t>Module 9 DoF BNO055</t>
  </si>
  <si>
    <t>https://www.gotronic.fr/art-module-9-dof-bno055-27795.htm</t>
  </si>
  <si>
    <t>cable puissance awg 1.3mm</t>
  </si>
  <si>
    <t>Kit de Fils Électriques en Silicone 16AWG</t>
  </si>
  <si>
    <t>https://www.raspberrypi.com/products/raspberry-pi-5/</t>
  </si>
  <si>
    <t>full total</t>
  </si>
  <si>
    <t>without funding</t>
  </si>
  <si>
    <t>with funding</t>
  </si>
  <si>
    <t xml:space="preserve">full total </t>
  </si>
  <si>
    <t>motor cervo</t>
  </si>
  <si>
    <t>waveshare serial bus</t>
  </si>
  <si>
    <t>https://www.amazon.fr/s?k=Waveshare+Serial+Bus+Servo+Driver+Board&amp;__mk_fr_FR=%C3%85M%C3%85%C5%BD%C3%95%C3%91&amp;crid=2FFHH7WI3A16T&amp;sprefix=waveshare+serial+bus+servo+driver+board%2Caps%2C204&amp;ref=nb_sb_noss_1</t>
  </si>
  <si>
    <t>https://www.amazon.fr/servomoteurs-encodeur-magn%C3%A9tique-pr%C3%A9cision-%C3%A9ducatifs/dp/B0FLPQQ4FR/ref=sr_1_1?__mk_fr_FR=%C3%85M%C3%85%C5%BD%C3%95%C3%91&amp;crid=EK8QST769I4K&amp;dib=eyJ2IjoiMSJ9.bO0-KRlSPeQgqdTs_BShPCEHgHZIJ3MqCN2454hsiQau6HUxctjsLQOICXFTwoRdmtygxTpaFs37Hou155x1HZFhxNKL3MGNYfJO3pJH7QxEaKA8vDMXKwkdtzMM9feqb00oMigKdlfHW00afriBAHXYlXgOHaGRzLpJCsVrd9luwtEllAdqAjSwCOq7yfQz.TVMFxZFUHGvQf2jKWUSC_IDa0M7urx4bHnKuH2JCxjo&amp;dib_tag=se&amp;keywords=rcmall+feetech+sts3215+12v+30kg+lot+6+servomoteur&amp;qid=1784163563&amp;sprefix=rcmall+feetech+sts3215+12v+30kg+lot+6+servomoteurs%2Caps%2C187&amp;sr=8-1&amp;ufe=app_do%3Aamzn1.fos.49fccda8-a887-4188-817b-b9a64bb30e43</t>
  </si>
  <si>
    <t xml:space="preserve">6 servomoteurs de bus série STS3215 12 V  360°couple  30 kg
</t>
  </si>
  <si>
    <t>Capteur de distance VL53L1X 333064 x3</t>
  </si>
  <si>
    <t>oled (pure looks)</t>
  </si>
  <si>
    <t>camera raspberry</t>
  </si>
  <si>
    <t>raspeberry module 3</t>
  </si>
  <si>
    <t>chasis</t>
  </si>
  <si>
    <t>metal thing</t>
  </si>
  <si>
    <t>3D model</t>
  </si>
  <si>
    <t>https://www.gotronic.fr/art-entretoise-m-f-20mm-bmf20-6549.htm</t>
  </si>
  <si>
    <t xml:space="preserve">entroise M3 m/F x 12 </t>
  </si>
  <si>
    <t xml:space="preserve">fusion license studient </t>
  </si>
  <si>
    <t>yippie</t>
  </si>
  <si>
    <t>support metal thing</t>
  </si>
  <si>
    <t>uthex M3 insert fileté - 100 pièces RX-M3x5,7</t>
  </si>
  <si>
    <t>https://www.amazon.fr/ruthex-Insert-filet%C3%A9-100-pi%C3%A8ces/dp/B08BCRZZS3/ref=sxin_17_pa_sp_search_thematic_sspa?content-id=amzn1.sym.eb723798-18fa-400f-9c62-dc005418e8c6%3Aamzn1.sym.eb723798-18fa-400f-9c62-dc005418e8c6&amp;cv_ct_cx=insert%2Bm3&amp;keywords=insert%2Bm3&amp;pd_rd_i=B08BCRZZS3&amp;pd_rd_r=7edaf555-d94d-4c18-8412-66d9a1e6901d&amp;pd_rd_w=XLw0d&amp;pd_rd_wg=44UBL&amp;pf_rd_p=eb723798-18fa-400f-9c62-dc005418e8c6&amp;pf_rd_r=NA9QC3H0CKT71MFT6V2G&amp;qid=1784234886&amp;sbo=RZvfv%2F%2FHxDF%2BO5021pAnSA%3D%3D&amp;sr=1-2-6911ff49-5df0-4e24-b896-054e803bb80d-spons&amp;aref=xcRixjbfGm&amp;sp_csd=d2lkZ2V0TmFtZT1zcF9zZWFyY2hfdGhlbWF0aWM&amp;th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</si>
</sst>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33333"/>
      <name val="Aptos Display"/>
      <family val="2"/>
      <scheme val="major"/>
    </font>
    <font>
      <sz val="11"/>
      <color rgb="FF232323"/>
      <name val="Arial"/>
      <family val="2"/>
    </font>
    <font>
      <sz val="12"/>
      <color rgb="FF0F1111"/>
      <name val="Arial"/>
      <family val="2"/>
    </font>
    <font>
      <sz val="11"/>
      <color rgb="FF212529"/>
      <name val="Aptos Narrow"/>
      <family val="2"/>
      <scheme val="minor"/>
    </font>
    <font>
      <sz val="11"/>
      <color rgb="FF0F11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0" fillId="0" borderId="0" xfId="0" applyAlignment="1">
      <alignment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hinahobbyline.com/fr/products/cnhl-3300mah-11-1v-3s-40c-lipo-battery-with-xt60-plug?_pos=1&amp;_sid=f62e50312&amp;_ss=r" TargetMode="External"/><Relationship Id="rId2" Type="http://schemas.openxmlformats.org/officeDocument/2006/relationships/hyperlink" Target="https://www.tindie.com/products/regaldreamtech/usb-pd-2030-to-5v-5a-converter-board-for-rpi5/" TargetMode="External"/><Relationship Id="rId1" Type="http://schemas.openxmlformats.org/officeDocument/2006/relationships/hyperlink" Target="https://www.amazon.fr/BildeeMait-daffichage-Interface-Contrast-Projects/dp/B0H3DZVWXW/ref=sr_1_1?__mk_fr_FR=&#197;M&#197;&#381;&#213;&#209;&amp;crid=1ND902S9AZFOF&amp;dib=eyJ2IjoiMSJ9.BWlxEL58HpuQkgih5GVxJw.tNMefXVo9mHk4T8X7T1EZGDFDKNQBKQcjwAqZoMaZ9E&amp;dib_tag=se&amp;keywords=screen+lSH1106+1.3&amp;qid=1784147156&amp;sprefix=screen+lsh1106+1.3%2Caps%2C123&amp;sr=8-1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D84E1-5605-4D40-8D4F-5DD6771B34B3}">
  <dimension ref="A1:D54"/>
  <sheetViews>
    <sheetView tabSelected="1" topLeftCell="A21" workbookViewId="0">
      <selection activeCell="D34" sqref="D34"/>
    </sheetView>
  </sheetViews>
  <sheetFormatPr baseColWidth="10" defaultRowHeight="14.5" x14ac:dyDescent="0.35"/>
  <cols>
    <col min="1" max="1" width="37" customWidth="1"/>
    <col min="2" max="2" width="41.6328125" customWidth="1"/>
    <col min="3" max="3" width="15.7265625" customWidth="1"/>
    <col min="4" max="4" width="60.81640625" customWidth="1"/>
  </cols>
  <sheetData>
    <row r="1" spans="1:4" x14ac:dyDescent="0.35">
      <c r="A1" t="s">
        <v>15</v>
      </c>
      <c r="B1" t="s">
        <v>16</v>
      </c>
      <c r="C1" t="s">
        <v>17</v>
      </c>
      <c r="D1" t="s">
        <v>18</v>
      </c>
    </row>
    <row r="2" spans="1:4" x14ac:dyDescent="0.35">
      <c r="A2" t="s">
        <v>1</v>
      </c>
    </row>
    <row r="4" spans="1:4" ht="43.5" x14ac:dyDescent="0.35">
      <c r="A4" t="s">
        <v>0</v>
      </c>
      <c r="B4" s="7" t="s">
        <v>59</v>
      </c>
      <c r="C4">
        <f>PRODUCT(146*2)</f>
        <v>292</v>
      </c>
      <c r="D4" t="s">
        <v>58</v>
      </c>
    </row>
    <row r="5" spans="1:4" x14ac:dyDescent="0.35">
      <c r="A5" t="s">
        <v>2</v>
      </c>
    </row>
    <row r="6" spans="1:4" x14ac:dyDescent="0.35">
      <c r="A6" t="s">
        <v>3</v>
      </c>
      <c r="C6">
        <f>SUM(C4, C5,)</f>
        <v>292</v>
      </c>
    </row>
    <row r="8" spans="1:4" x14ac:dyDescent="0.35">
      <c r="A8" t="s">
        <v>4</v>
      </c>
    </row>
    <row r="9" spans="1:4" x14ac:dyDescent="0.35">
      <c r="A9" t="s">
        <v>5</v>
      </c>
      <c r="B9" t="s">
        <v>28</v>
      </c>
      <c r="C9">
        <v>17</v>
      </c>
      <c r="D9" s="1" t="s">
        <v>29</v>
      </c>
    </row>
    <row r="10" spans="1:4" x14ac:dyDescent="0.35">
      <c r="A10" t="s">
        <v>30</v>
      </c>
      <c r="B10" t="s">
        <v>32</v>
      </c>
      <c r="C10">
        <v>36</v>
      </c>
      <c r="D10" t="s">
        <v>31</v>
      </c>
    </row>
    <row r="11" spans="1:4" x14ac:dyDescent="0.35">
      <c r="A11" t="s">
        <v>6</v>
      </c>
      <c r="B11" t="s">
        <v>33</v>
      </c>
      <c r="C11">
        <v>0</v>
      </c>
    </row>
    <row r="12" spans="1:4" x14ac:dyDescent="0.35">
      <c r="A12" t="s">
        <v>2</v>
      </c>
    </row>
    <row r="13" spans="1:4" x14ac:dyDescent="0.35">
      <c r="A13" t="s">
        <v>3</v>
      </c>
      <c r="C13">
        <f>SUM(C9:C11)</f>
        <v>53</v>
      </c>
    </row>
    <row r="15" spans="1:4" x14ac:dyDescent="0.35">
      <c r="A15" t="s">
        <v>7</v>
      </c>
    </row>
    <row r="16" spans="1:4" x14ac:dyDescent="0.35">
      <c r="A16" t="s">
        <v>9</v>
      </c>
      <c r="B16" t="s">
        <v>8</v>
      </c>
      <c r="C16">
        <v>305</v>
      </c>
      <c r="D16" s="1" t="s">
        <v>50</v>
      </c>
    </row>
    <row r="17" spans="1:4" x14ac:dyDescent="0.35">
      <c r="A17" t="s">
        <v>55</v>
      </c>
      <c r="B17" t="s">
        <v>56</v>
      </c>
      <c r="C17">
        <v>12</v>
      </c>
      <c r="D17" t="s">
        <v>57</v>
      </c>
    </row>
    <row r="18" spans="1:4" x14ac:dyDescent="0.35">
      <c r="A18" t="s">
        <v>3</v>
      </c>
      <c r="C18">
        <f>SUM(C16:C17)</f>
        <v>317</v>
      </c>
    </row>
    <row r="21" spans="1:4" x14ac:dyDescent="0.35">
      <c r="A21" t="s">
        <v>10</v>
      </c>
    </row>
    <row r="22" spans="1:4" x14ac:dyDescent="0.35">
      <c r="A22" t="s">
        <v>11</v>
      </c>
      <c r="B22" s="5" t="s">
        <v>46</v>
      </c>
      <c r="C22">
        <v>32</v>
      </c>
      <c r="D22" t="s">
        <v>47</v>
      </c>
    </row>
    <row r="23" spans="1:4" x14ac:dyDescent="0.35">
      <c r="A23" t="s">
        <v>12</v>
      </c>
      <c r="B23" s="5" t="s">
        <v>60</v>
      </c>
      <c r="C23">
        <v>39</v>
      </c>
      <c r="D23" t="s">
        <v>45</v>
      </c>
    </row>
    <row r="24" spans="1:4" ht="15.5" x14ac:dyDescent="0.35">
      <c r="A24" t="s">
        <v>42</v>
      </c>
      <c r="B24" s="4" t="s">
        <v>43</v>
      </c>
      <c r="C24">
        <v>6</v>
      </c>
      <c r="D24" t="s">
        <v>44</v>
      </c>
    </row>
    <row r="25" spans="1:4" ht="15" customHeight="1" x14ac:dyDescent="0.35">
      <c r="A25" t="s">
        <v>61</v>
      </c>
      <c r="B25" t="s">
        <v>26</v>
      </c>
      <c r="C25">
        <v>8</v>
      </c>
      <c r="D25" s="1" t="s">
        <v>27</v>
      </c>
    </row>
    <row r="26" spans="1:4" x14ac:dyDescent="0.35">
      <c r="A26" t="s">
        <v>62</v>
      </c>
      <c r="B26" t="s">
        <v>63</v>
      </c>
      <c r="D26" s="1"/>
    </row>
    <row r="27" spans="1:4" x14ac:dyDescent="0.35">
      <c r="A27" t="s">
        <v>3</v>
      </c>
      <c r="C27">
        <f>SUM(C22:C25)</f>
        <v>85</v>
      </c>
    </row>
    <row r="30" spans="1:4" x14ac:dyDescent="0.35">
      <c r="A30" t="s">
        <v>19</v>
      </c>
    </row>
    <row r="31" spans="1:4" x14ac:dyDescent="0.35">
      <c r="A31" t="s">
        <v>20</v>
      </c>
    </row>
    <row r="32" spans="1:4" x14ac:dyDescent="0.35">
      <c r="A32" t="s">
        <v>40</v>
      </c>
      <c r="B32" t="s">
        <v>22</v>
      </c>
      <c r="C32">
        <v>17</v>
      </c>
      <c r="D32" t="s">
        <v>41</v>
      </c>
    </row>
    <row r="33" spans="1:4" x14ac:dyDescent="0.35">
      <c r="A33" t="s">
        <v>23</v>
      </c>
      <c r="B33" t="s">
        <v>24</v>
      </c>
      <c r="C33">
        <v>8</v>
      </c>
      <c r="D33" t="s">
        <v>25</v>
      </c>
    </row>
    <row r="34" spans="1:4" x14ac:dyDescent="0.35">
      <c r="A34" t="s">
        <v>34</v>
      </c>
      <c r="B34" s="2" t="s">
        <v>35</v>
      </c>
      <c r="C34">
        <v>13</v>
      </c>
      <c r="D34" s="1" t="s">
        <v>36</v>
      </c>
    </row>
    <row r="35" spans="1:4" ht="28" x14ac:dyDescent="0.35">
      <c r="A35" t="s">
        <v>37</v>
      </c>
      <c r="B35" s="3" t="s">
        <v>38</v>
      </c>
      <c r="C35">
        <v>8</v>
      </c>
      <c r="D35" t="s">
        <v>39</v>
      </c>
    </row>
    <row r="36" spans="1:4" x14ac:dyDescent="0.35">
      <c r="A36" t="s">
        <v>48</v>
      </c>
      <c r="B36" s="6" t="s">
        <v>49</v>
      </c>
      <c r="C36">
        <v>14</v>
      </c>
    </row>
    <row r="37" spans="1:4" x14ac:dyDescent="0.35">
      <c r="A37" t="s">
        <v>3</v>
      </c>
      <c r="C37">
        <f>SUM(C32:C36)</f>
        <v>60</v>
      </c>
    </row>
    <row r="40" spans="1:4" x14ac:dyDescent="0.35">
      <c r="A40" t="s">
        <v>64</v>
      </c>
    </row>
    <row r="41" spans="1:4" x14ac:dyDescent="0.35">
      <c r="A41" t="s">
        <v>71</v>
      </c>
      <c r="B41" s="6" t="s">
        <v>72</v>
      </c>
      <c r="C41">
        <v>10</v>
      </c>
      <c r="D41" t="s">
        <v>73</v>
      </c>
    </row>
    <row r="42" spans="1:4" x14ac:dyDescent="0.35">
      <c r="A42" t="s">
        <v>65</v>
      </c>
      <c r="B42" t="s">
        <v>68</v>
      </c>
      <c r="C42">
        <v>3.6</v>
      </c>
      <c r="D42" t="s">
        <v>67</v>
      </c>
    </row>
    <row r="43" spans="1:4" x14ac:dyDescent="0.35">
      <c r="A43" t="s">
        <v>66</v>
      </c>
      <c r="B43" t="s">
        <v>69</v>
      </c>
      <c r="C43">
        <v>0</v>
      </c>
      <c r="D43" t="s">
        <v>70</v>
      </c>
    </row>
    <row r="44" spans="1:4" x14ac:dyDescent="0.35">
      <c r="A44" t="s">
        <v>3</v>
      </c>
      <c r="C44">
        <f>SUM(C41:C43)</f>
        <v>13.6</v>
      </c>
    </row>
    <row r="46" spans="1:4" x14ac:dyDescent="0.35">
      <c r="A46" t="s">
        <v>21</v>
      </c>
    </row>
    <row r="49" spans="1:3" x14ac:dyDescent="0.35">
      <c r="A49" t="s">
        <v>13</v>
      </c>
    </row>
    <row r="50" spans="1:3" x14ac:dyDescent="0.35">
      <c r="A50" t="s">
        <v>14</v>
      </c>
    </row>
    <row r="52" spans="1:3" x14ac:dyDescent="0.35">
      <c r="C52">
        <f>SUM(C13,C18,C27,C37, C6, C44,)</f>
        <v>820.6</v>
      </c>
    </row>
    <row r="53" spans="1:3" x14ac:dyDescent="0.35">
      <c r="A53" t="s">
        <v>51</v>
      </c>
      <c r="B53" t="s">
        <v>52</v>
      </c>
    </row>
    <row r="54" spans="1:3" x14ac:dyDescent="0.35">
      <c r="A54" t="s">
        <v>54</v>
      </c>
      <c r="B54" t="s">
        <v>53</v>
      </c>
    </row>
  </sheetData>
  <hyperlinks>
    <hyperlink ref="D25" r:id="rId1" display="https://www.amazon.fr/BildeeMait-daffichage-Interface-Contrast-Projects/dp/B0H3DZVWXW/ref=sr_1_1?__mk_fr_FR=ÅMÅŽÕÑ&amp;crid=1ND902S9AZFOF&amp;dib=eyJ2IjoiMSJ9.BWlxEL58HpuQkgih5GVxJw.tNMefXVo9mHk4T8X7T1EZGDFDKNQBKQcjwAqZoMaZ9E&amp;dib_tag=se&amp;keywords=screen+lSH1106+1.3&amp;qid=1784147156&amp;sprefix=screen+lsh1106+1.3%2Caps%2C123&amp;sr=8-1" xr:uid="{9289B590-F30A-4593-9C30-D7D41A61602F}"/>
    <hyperlink ref="D34" r:id="rId2" xr:uid="{CC730371-9F52-4255-965E-01643FFC55A2}"/>
    <hyperlink ref="D9" r:id="rId3" xr:uid="{B8E574BC-7EDC-4E8F-A62E-3439BFFEFF11}"/>
  </hyperlinks>
  <pageMargins left="0.7" right="0.7" top="0.75" bottom="0.75" header="0.3" footer="0.3"/>
  <pageSetup paperSize="9" orientation="portrait" horizontalDpi="0" verticalDpi="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yannis sxay-barroso</dc:creator>
  <cp:lastModifiedBy>yannis sxay-barroso</cp:lastModifiedBy>
  <dcterms:created xsi:type="dcterms:W3CDTF">2026-07-15T19:45:09Z</dcterms:created>
  <dcterms:modified xsi:type="dcterms:W3CDTF">2026-07-17T01:08:55Z</dcterms:modified>
</cp:coreProperties>
</file>