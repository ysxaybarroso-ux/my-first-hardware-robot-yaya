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xay\Documents\1st-robot\3D-model\my-first-hardware-robot-yaya\"/>
    </mc:Choice>
  </mc:AlternateContent>
  <xr:revisionPtr revIDLastSave="0" documentId="13_ncr:1_{DE3ED0D9-0D8A-4032-ADE9-12D6D5264525}" xr6:coauthVersionLast="47" xr6:coauthVersionMax="47" xr10:uidLastSave="{00000000-0000-0000-0000-000000000000}"/>
  <bookViews>
    <workbookView xWindow="-110" yWindow="-110" windowWidth="19420" windowHeight="11020" xr2:uid="{5385AF8B-5E78-4C05-9C0A-C88B91E9E40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C43" i="1"/>
  <c r="C53" i="1" s="1"/>
  <c r="C25" i="1"/>
  <c r="C66" i="1"/>
  <c r="C4" i="1"/>
  <c r="C6" i="1" s="1"/>
  <c r="C13" i="1"/>
  <c r="C74" i="1" l="1"/>
</calcChain>
</file>

<file path=xl/sharedStrings.xml><?xml version="1.0" encoding="utf-8"?>
<sst xmlns="http://schemas.openxmlformats.org/spreadsheetml/2006/main" count="121" uniqueCount="116">
  <si>
    <t>servo motor</t>
  </si>
  <si>
    <t>motor</t>
  </si>
  <si>
    <t>founding</t>
  </si>
  <si>
    <t>total</t>
  </si>
  <si>
    <t>aliemntation</t>
  </si>
  <si>
    <t>servomotor</t>
  </si>
  <si>
    <t>raspberry</t>
  </si>
  <si>
    <t>cervo</t>
  </si>
  <si>
    <t>main cervo</t>
  </si>
  <si>
    <t>sensor</t>
  </si>
  <si>
    <t>STABILITY</t>
  </si>
  <si>
    <t>distance, obstacle</t>
  </si>
  <si>
    <t>future</t>
  </si>
  <si>
    <t>extern device (first my phone then i create one)</t>
  </si>
  <si>
    <t>use</t>
  </si>
  <si>
    <t>product</t>
  </si>
  <si>
    <t>price</t>
  </si>
  <si>
    <t>ref</t>
  </si>
  <si>
    <t>cable  material</t>
  </si>
  <si>
    <t>3d</t>
  </si>
  <si>
    <t>tools</t>
  </si>
  <si>
    <t>sensor and oled screen</t>
  </si>
  <si>
    <t>dupont female-female</t>
  </si>
  <si>
    <t>https://www.amazon.fr/Dupont-Breadboard-Mâle-Femelle-Mâle-Mâle-Femelle-Femelle/dp/B0DFCT8RZ7/ref=sr_1_2_sspa?adgrpid=60932846374&amp;dib=eyJ2IjoiMSJ9.4-rNeFeeL5IDbcw6xttMNTxsXC6SLrKUkSwiPOOvHK6ed6XNTPTdhUddIl0ILd5fM54MRY21NwMuZjqLWKgtxmYBvziCtLQ0IarSX3PJdlHYwNf5xzbj0l8YfmVkeOR1Oez0ioZpfW82kAo1UFUT68H7uw3or7Wm7iPGcZuBD9Peas_fVNd41h0oNPoG22xlOXhIkoiQ3yPIg4CaO8Of76q0V-pmOZsHycse49ZmWHngn6jSbjx5cgjizo3JjeSn_9BOMZwhKWXnZ_Ebc7eHFhPTOVgEIv0k76rpw9f2OdY.DaLuZQRvERWOBHPeRmvPv28s7qqpDNGz9vwvinFH0hA&amp;dib_tag=se&amp;hvadid=799292278505&amp;hvdev=c&amp;hvexpln=0&amp;hvlocphy=9056376&amp;hvnetw=g&amp;hvocijid=15816688827743388238--&amp;hvqmt=b&amp;hvrand=15816688827743388238&amp;hvtargid=kwd-2471464198968&amp;hydadcr=4367_2326152&amp;keywords=cable+dupont+femelle+femelle+20cm&amp;mcid=70a66438fb053f0ca154c560ed49730a&amp;qid=1784146936&amp;sr=8-2-spons&amp;aref=v1hh6t5kyv&amp;sp_csd=d2lkZ2V0TmFtZT1zcF9hdGY&amp;psc=1</t>
  </si>
  <si>
    <t>CNHL 3300mAh 11.1V 3S 40C avec prise XT60</t>
  </si>
  <si>
    <t>https://chinahobbyline.com/fr/products/cnhl-3300mah-11-1v-3s-40c-lipo-battery-with-xt60-plug?_pos=1&amp;_sid=f62e50312&amp;_ss=r</t>
  </si>
  <si>
    <t>rlipo charger</t>
  </si>
  <si>
    <t>https://www.amazon.fr/WANGCL-Chargeur-num%C3%A9rique-adaptateur-plomb-acide/dp/B0B3GM8KX9/ref=sr_1_1?adgrpid=63018066224&amp;dib=eyJ2IjoiMSJ9.8SfG9T59AZhLcYgBJ0wyieydr4VbboFNV79KHuh9ngqBVUQTkGm3URLWPV5tfhwcbWwUvB8Dbaw6gVaBPoyxcXWKvMP95myjaL2s0DB4N-5Nkf5X1PZOdYqq7CwWAlH6f_mLbdJRXrN3Izb8pKlYz-fWp1ARgIswNV6nnYI3z-i4QMIeniV9FC2Zu3YKDbmp7LcT8qtznQFLcimja5_fFXun7oZ3E6QoB4UEOdV6JlBb5ef9Bi2ZnOCw2f1wUDEYzuiHjaH2I2bk3FbS2yZ561Ax0mbD0AIfTwj0W_oN3BA.cQOZZd9AAx0v31Uux0XTlA5VzGj4snnhvCWjjnnvYCc&amp;dib_tag=se&amp;hvadid=499010703346&amp;hvdev=c&amp;hvexpln=0&amp;hvlocphy=9056376&amp;hvnetw=g&amp;hvocijid=15618825406571621855--&amp;hvqmt=e&amp;hvrand=15618825406571621855&amp;hvtargid=kwd-329235333524&amp;hydadcr=893_2493716&amp;keywords=imax+b6ac+v2&amp;mcid=b00d2729812231feb768ee4b6bdb884f&amp;qid=1784149373&amp;sr=8-1</t>
  </si>
  <si>
    <t>iMaxB6</t>
  </si>
  <si>
    <t>same as motor just a adaptation system see below</t>
  </si>
  <si>
    <t>alarm battery protection help</t>
  </si>
  <si>
    <t>Testeur de Tension 1-8S Indicateur Basse Tension LED Rouge Alarme Reglable</t>
  </si>
  <si>
    <t>https://www.fnac.com/mp50250851/Testeur-de-Tension-1-8S-Indicateur-Basse-Tension-LED-Rouge-Alarme-Reglable-pour-Batterie-Lipo-3-7V-Compatible-Drones-Voitures-RC-Gris-Noir-Plastique/w-4?oref=fe90b927-26ab-257e-dd8e-924cb3e0c9e4&amp;Origin=CMP_GOOGLE_FL_JOUET</t>
  </si>
  <si>
    <t>multiplexer to make easier</t>
  </si>
  <si>
    <t>TCA9548A IIC 1,8 V - 5 V 8 canaux I2C</t>
  </si>
  <si>
    <t>https://www.amazon.fr/GERUI-cartes-d%C3%A9rivation-multiplexeur-TCA9548A/dp/B0F37Y8HWV/ref=sr_1_1?__mk_fr_FR=%C3%85M%C3%85%C5%BD%C3%95%C3%91&amp;crid=31BKDCG1A75O8&amp;dib=eyJ2IjoiMSJ9.39RdYhq796rUa1hmQbSVM5nTyrkZYy0xg3WK52CaZMYKKdGMf95TproMTYPgRYlD62_YDFHD4pajETiRhFOBRqvvmMvs3hBU0dQsNWdUtHj3HSbUaVX8UR2Q_0hfLS0UTnxup76vrbvlJUqRHkRyecE-4BdLvVMebieToqz0tpLwAt_mCLmm7eJw_KHXzzlZbiJx0g4aKqn5q8QQbJHKwxf2sWTogSms8Yh8fBI2ov2gpouPfMiLtpeg_c39zoJaX7Fmiw3188P2W5PEpRH5PpUrpqBPgIBmw1YnFkTdYQ8.VZqaTNt1bNF_JpYtU_-xO4ZZP-FrwE85MI7_704bRU8&amp;dib_tag=se&amp;keywords=Module+multiplexeur+I2C+DFR0576+%C3%A0+8+canaux+Module+multiplexeur+I2C+bas%C3%A9+sur+un+TCA9548A+permettant+de+raccorder+jusqu%27%C3%A0+8+capteurs+I2C+avec+la+m%C3%AAme+adresse+sur+le+m%C3%AAme+bus+I2C+d%27un+microcontr%C3%B4leur.+8%2C90+%E2%82%AC+TTC+7%2C42+%E2%82%AC+HT+Code+%3A+36123&amp;qid=1784153675&amp;sprefix=module+multiplexeur+i2c+dfr0576+%C3%A0+8+canaux+module+multiplexeur+i2c+bas%C3%A9+sur+un+tca9548a+permettant+de+raccorder+jusqu%27%C3%A0+8+capteurs+i2c+avec+la+m%C3%AAme+adresse+sur+le+m%C3%AAme+bus+i2c+d%27un+microcontr%C3%B4leur.+8%2C90+ttc+7%2C42+ht+code+36123%2Caps%2C199&amp;sr=8-1</t>
  </si>
  <si>
    <t>Module 9 DoF BNO055</t>
  </si>
  <si>
    <t>https://www.gotronic.fr/art-module-9-dof-bno055-27795.htm</t>
  </si>
  <si>
    <t>cable puissance awg 1.3mm</t>
  </si>
  <si>
    <t>full total</t>
  </si>
  <si>
    <t>without funding</t>
  </si>
  <si>
    <t>with funding</t>
  </si>
  <si>
    <t xml:space="preserve">full total </t>
  </si>
  <si>
    <t>motor cervo</t>
  </si>
  <si>
    <t>waveshare serial bus</t>
  </si>
  <si>
    <t>https://www.amazon.fr/servomoteurs-encodeur-magn%C3%A9tique-pr%C3%A9cision-%C3%A9ducatifs/dp/B0FLPQQ4FR/ref=sr_1_1?__mk_fr_FR=%C3%85M%C3%85%C5%BD%C3%95%C3%91&amp;crid=EK8QST769I4K&amp;dib=eyJ2IjoiMSJ9.bO0-KRlSPeQgqdTs_BShPCEHgHZIJ3MqCN2454hsiQau6HUxctjsLQOICXFTwoRdmtygxTpaFs37Hou155x1HZFhxNKL3MGNYfJO3pJH7QxEaKA8vDMXKwkdtzMM9feqb00oMigKdlfHW00afriBAHXYlXgOHaGRzLpJCsVrd9luwtEllAdqAjSwCOq7yfQz.TVMFxZFUHGvQf2jKWUSC_IDa0M7urx4bHnKuH2JCxjo&amp;dib_tag=se&amp;keywords=rcmall+feetech+sts3215+12v+30kg+lot+6+servomoteur&amp;qid=1784163563&amp;sprefix=rcmall+feetech+sts3215+12v+30kg+lot+6+servomoteurs%2Caps%2C187&amp;sr=8-1&amp;ufe=app_do%3Aamzn1.fos.49fccda8-a887-4188-817b-b9a64bb30e43</t>
  </si>
  <si>
    <t>oled (pure looks)</t>
  </si>
  <si>
    <t>camera raspberry</t>
  </si>
  <si>
    <t>raspeberry module 3</t>
  </si>
  <si>
    <t>chasis</t>
  </si>
  <si>
    <t>metal thing</t>
  </si>
  <si>
    <t>3D model</t>
  </si>
  <si>
    <t>https://www.gotronic.fr/art-entretoise-m-f-20mm-bmf20-6549.htm</t>
  </si>
  <si>
    <t xml:space="preserve">fusion license studient </t>
  </si>
  <si>
    <t>yippie</t>
  </si>
  <si>
    <t>support metal thing</t>
  </si>
  <si>
    <t>uthex M3 insert fileté - 100 pièces RX-M3x5,7</t>
  </si>
  <si>
    <t>https://www.amazon.fr/ruthex-Insert-filet%C3%A9-100-pi%C3%A8ces/dp/B08BCRZZS3/ref=sxin_17_pa_sp_search_thematic_sspa?content-id=amzn1.sym.eb723798-18fa-400f-9c62-dc005418e8c6%3Aamzn1.sym.eb723798-18fa-400f-9c62-dc005418e8c6&amp;cv_ct_cx=insert%2Bm3&amp;keywords=insert%2Bm3&amp;pd_rd_i=B08BCRZZS3&amp;pd_rd_r=7edaf555-d94d-4c18-8412-66d9a1e6901d&amp;pd_rd_w=XLw0d&amp;pd_rd_wg=44UBL&amp;pf_rd_p=eb723798-18fa-400f-9c62-dc005418e8c6&amp;pf_rd_r=NA9QC3H0CKT71MFT6V2G&amp;qid=1784234886&amp;sbo=RZvfv%2F%2FHxDF%2BO5021pAnSA%3D%3D&amp;sr=1-2-6911ff49-5df0-4e24-b896-054e803bb80d-spons&amp;aref=xcRixjbfGm&amp;sp_csd=d2lkZ2V0TmFtZT1zcF9zZWFyY2hfdGhlbWF0aWM&amp;th=1</t>
  </si>
  <si>
    <t>https://www.amazon.fr/Waveshare-Integrates-Control-Applicable-Integrate/dp/B0CJ6TP3TP/ref=sr_1_1?__mk_fr_FR=%C3%85M%C3%85%C5%BD%C3%95%C3%91&amp;crid=2FFHH7WI3A16T&amp;dib=eyJ2IjoiMSJ9.0QQbYebMwiyHQl0uwVxaOWJDin7DdwKWCroasVv0r8YSZzbf7Kor-6bIP-y-yKVncXHI9m-Y_AHB3EyWFMHHbCpzemBCdddWpquGNABB5ND6TUxRABjnTiYqcKIlE595PJuXAMTjSZAtoc1ABC4yIJyoBAL8kLVGSXQJyQ5e2gkCst7YqXM4P0WRzjrhkKjVhN1E60RKtGcPDCSy3R7rSZCpC4eKu-UWfr_zjb4a-HPZt3FMxwSZVGODR2y9hua241loTjoNFk3QMi5X-olSRvCvAXrwMy2p7Q48SBY-2B0.R_ryWVxHsJVw7mAO58pRNcqWjtadK9TYACDBKdTlntw&amp;dib_tag=se&amp;keywords=Waveshare+Serial+Bus+Servo+Driver+Board&amp;qid=1784251204&amp;sprefix=waveshare+serial+bus+servo+driver+board%2Caps%2C204&amp;sr=8-1</t>
  </si>
  <si>
    <t>https://www.kubii.com/fr/cameras-capteurs/3878-1690-module-camera-v3-raspberry-pi-3272496313699.html?gad_source=1&amp;gad_campaignid=24033934214&amp;gbraid=0AAAAApc7Y9k89IbHZ3t1la-UhZUIYiwe9&amp;gclid=CjwKCAjwpefSBhBvEiwAzyEtZ5ZmTCGofiSQwad2HYpLPQBJjzUF_we9PA6nMOzoV2g6K2OC55Zi-hoCq1EQAvD_BwE</t>
  </si>
  <si>
    <t>camera raspberry adaotator</t>
  </si>
  <si>
    <t xml:space="preserve">  </t>
  </si>
  <si>
    <t>metal thing longer</t>
  </si>
  <si>
    <t>M3 x 45mm 10 Pcs Double through Laiton</t>
  </si>
  <si>
    <t>https://www.amazon.fr/ORANXIN-Entretoises-Filetage-dordinateur-Standoffs/dp/B0DR68DJ65/ref=sr_1_1_sspa?__mk_fr_FR=%C3%85M%C3%85%C5%BD%C3%95%C3%91&amp;crid=3DSUOILJCUYKI&amp;dib=eyJ2IjoiMSJ9.qFWv21a2A5ALT2mUDB9-kuSPDzNdSxUAa0jNYFvwMRnak1bXloxdOLaWslrs6CUqp-e86BSlEXxNVeiJWQ1tFz-ExnTWFK0gaUJV1swcULmm3u_zvTE4BybpOaRXVng6a5VOsuIwLTQa3Z3dWH7MY98jnavajoRW0XoDMoIDTtlhOcK3DaUzHg7JdRJkCex6YdsCVweNhit9V0wcNJ1pUHnDIqshMbjBf3-VMMU9zbV7V5Uzd0HyzPF_r9JCQYWxl-28maZqPJAzlh4tW9k8SNhJ4F0j3Dt5aoBfaD-MLqE.Ogbffg7b8E-xPKkFxglKyrtHOwyY84jF2ODp6CNNu6g&amp;dib_tag=se&amp;keywords=entretoise%2BM3%2B45mm%2Blaiton&amp;qid=1784411275&amp;s=industrial&amp;sprefix=entretoise%2Bm3%2B45mm%2Blaito%2Cindustrial%2C576&amp;sr=1-1-spons&amp;aref=ZLLaoy6YpM&amp;sp_csd=d2lkZ2V0TmFtZT1zcF9hdGY&amp;th=1</t>
  </si>
  <si>
    <t>M2.5 Vis Ecrou et Vis</t>
  </si>
  <si>
    <t>support for composant</t>
  </si>
  <si>
    <t>https://www.amazon.fr/Xinrub-Inoxydable-Socket-Assrotment-Ensemble/dp/B07DC8P34R/ref=sr_1_3_sspa?__mk_fr_FR=%C3%85M%C3%85%C5%BD%C3%95%C3%91&amp;dib=eyJ2IjoiMSJ9.YUuaSlMzLzwNoNkHVRQKTzcduQ_mC_YbZQqdQr_Ox0ni0hdff4mGBM74hqkyr1HhGCraQUPIdYfu5DJaZTodTQQrJGYiDFdMRnLtfyxTZf8ZVtWSxuuZWnSiWQ8S94v5Ynlj6zDJMwjcba9OeRcOX2XbOx4N2ocWK411SufRqMyPkZJbBAs9_n5A0unnrrpWtLqDBl0xjBSV62IzJsdxc1r4clOhUckvS4bl_jxDEqh_f4dkaQphVj685RaC-wl30Z4qMd9xn-_QEk8NMhzWkdXXi69nMPvwxPbOyKnOL7A.9F58_dBqMyBn3RqYhMEt5O7TrtPlT0PA4jsuW0mIyHM&amp;dib_tag=se&amp;keywords=vis+M2%2C5+%2B+%C3%A9crou+assortiment&amp;qid=1784480491&amp;sr=8-3-spons&amp;aref=4CQ2LAuRGo&amp;sp_csd=d2lkZ2V0TmFtZT1zcF9hdGY&amp;psc=1</t>
  </si>
  <si>
    <t>scotch for composant boxes</t>
  </si>
  <si>
    <t>https://www.amazon.fr/3M-4611193-Ruban-Adh%C3%A9sif-Gris/dp/B00EDLV24U/ref=sr_1_4?__mk_fr_FR=%C3%85M%C3%85%C5%BD%C3%95%C3%91&amp;crid=3RPUAWV4DN7CI&amp;dib=eyJ2IjoiMSJ9.8gnu4w4Kprdnh2A0YJxz2GXT_Jh-tK6Dln6TzEHf93s43pm4saOGUncsTQJUmxS6wInuANJutEfuFW_uxgFXFAjdkiPC1y4C2burhcNCKH_XiOcwCa2OuHRA7g_sUkROon577v8C-uXKmPOwnshIvoHP8VkVOwJyHQR-3WSVz6fiNxwPIZ4y_n9lkEtc28qXp1A-SKcOPCCniUfPuC9_TFFLCS83_wIg46oqQ5qPGRaM2qCRn00bRLILZQ5gxHTOWqGJ9Cxvb_QopGBmLxD9IkhGtu2u7jwommnSWTL_ZvI.t2ZAyxiCriXbOsDXX73YzQMhfUfLaBr3hab979EFrVw&amp;dib_tag=se&amp;keywords=3M%2B4430%2Bmousse%2Bdouble%2Bface&amp;qid=1784496133&amp;rdc=1&amp;s=industrial&amp;sprefix=3m%2B4430%2Bmousse%2Bdouble%2Bface%2Cindustrial%2C180&amp;sr=1-4&amp;th=1</t>
  </si>
  <si>
    <t>3M VHB 4611, Ruban Adhésif Mousse Double Face</t>
  </si>
  <si>
    <t xml:space="preserve">entroise M3 m/F x 8  20mm </t>
  </si>
  <si>
    <t>xt60 MALE FOR BATERRY</t>
  </si>
  <si>
    <t>https://www.amazon.fr/Connecteur-Batterie-Voitures-Panneaux-Solaires/dp/B0FS1GLND9/ref=sr_1_1_sspa?dib=eyJ2IjoiMSJ9.zziqtRqTCZHFpD9zjSpZVFtxCCfnnRgFxksWnknbxn1GRH1UJ6XpJtt_Vcu8ADqOnQna2B2yiNtsRKtvAK6LwIWeN9X_hEDqseBW0A_fiPR9l6DS8Wc2rom16NN6PnCzfM4ScBc4anrZYYGjknPjUDgcD7HUZinc62Axj1rsbLkoZd23G-WrX0rE3tgbCObraIrzWAPel4HExlAUcmYLfUayg5dWkhsrpbPLXCYvqHBJHL4VUs9RHrPKzGoDsqwi-9hAi6nBiMljIIqQch-w0pW69gGtM288_YyI0XJ02b8.8HMfizOuaLkOGqrsoJ6HH3iXYA0Rvxn1Ls6WQmr4myE&amp;dib_tag=se&amp;keywords=Male+Xt60+Connector&amp;qid=1784586789&amp;sr=8-1-spons&amp;aref=xOMZOQT4kc&amp;sp_csd=d2lkZ2V0TmFtZT1zcF9hdGY&amp;psc=1</t>
  </si>
  <si>
    <t>https://www.amazon.fr/QWORK-AWG-mm%C2%B2-Cable-Electrique/dp/B0C9MBMM76/ref=sr_1_1_sspa?dib=eyJ2IjoiMSJ9.gAyza6vtpW61Z57NRNK-M8GzL6h2qC7q27KiqBK2Qezd4FxiauHCaNZyHODeLslz0EZq2r57qosFTaIGj6oSpXI3Ze-1vlzD7GHxklldLIaUaHLf1T77gkayEeup_pV23lgztbh9khMjGuuT5zMG0_Pp-YXVRbM3BoEZ0FdqjOlCaoMjj46UrebHZ1nx0R5-ag5upqMSEPc4OwE46f6qCUITsQop4jj3BjKh2uouxnLlJN9i1M_vIKcMOer8HF7nUTqa3MlS3Mln3CDLOoG_Tik-l9pNsD5_XfWruumBKnY.G1gcpbXWnnKVP54WYmCCxG-BMPxOgG1NFN8teeQLbr0&amp;dib_tag=se&amp;keywords=12%2Bawg%2Bwire&amp;qid=1784587885&amp;sr=8-1-spons&amp;aref=EhI8O03Zui&amp;sp_csd=d2lkZ2V0TmFtZT1zcF9hdGY&amp;th=1</t>
  </si>
  <si>
    <t>3m x 2  12AWG  theres only big length unfotunatly</t>
  </si>
  <si>
    <t xml:space="preserve">6 servomoteurs de bus série STS3215 12 V  360°couple  30 kg X2
</t>
  </si>
  <si>
    <t>https://www.amazon.fr/AZDelivery-%E2%AD%90%E2%AD%90%E2%AD%90%E2%AD%90%E2%AD%90-Moteur-Robots-hubchrauber/dp/B07CYZSVKW/ref=sr_1_10?__mk_fr_FR=%C3%85M%C3%85%C5%BD%C3%95%C3%91&amp;crid=3FN65CYOAXJQL&amp;dib=eyJ2IjoiMSJ9.Jkunp_vzCZ7Vv5RpPt7pHTWWT7q_zccDh2QVF4qvqHv6IVnxIAomTG3hnpIDXkdjGs_og0z-XpYBDaHJmcpaI_ND_A_HPLygOXr54ccI6IzymP07T_jQGoO3nSKp03YLx8ZAjFO_bJoI6YnTk6jqM8hxlV7xA_dhcVMUWXdo0sLJno6_acuyqxyPulYxefOlTXkUL1jobQdDZSn4VsqynSv-emv7Qhh2q_Z_Tr7zzD33PxukonRGm8giBPn4qhzyADqPCJInzSRLJw8teFHLHvA_mlBf4t6HhbqCLRsonS4.8AFGfhRAQibc0SAdQ7I9kKX_5bPX3f3XIW6JdThGZEI&amp;dib_tag=se&amp;keywords=Mini%2BServo%2BSG90%2BNum%C3%A9rique%2B9g%2BTowerPro%2BSG90D&amp;qid=1785013398&amp;sprefix=mini%2Bservo%2Bsg90%2Bnum%C3%A9rique%2B9g%2Btowerpro%2Bsg90d%2Caps%2C134&amp;sr=8-10&amp;th=1</t>
  </si>
  <si>
    <t>servo motor camera</t>
  </si>
  <si>
    <t>SG90 60°  make the camera turn for tracking</t>
  </si>
  <si>
    <t>12V to 5V 5A converter board</t>
  </si>
  <si>
    <t>https://www.amazon.fr/Convertisseur-Binghe-Reconnaissance-Compatible-Arduino/dp/B0DJX9GVX6/ref=sr_1_5_sspa?__mk_fr_FR=%C3%85M%C3%85%C5%BD%C3%95%C3%91&amp;crid=HQQ8XQUDPPHV&amp;dib=eyJ2IjoiMSJ9.kFvMDwPnhb169LU9cfq_j6Az3BvHQE5mAWWiirbf3OeW2J6pNaifAlx6Hyu-CaFiyeJcUP3ZfkN8VmXvsfUKKVCBlt5DKaFItbLPtFh_vYK84-EH2y4Z-mex-sqrcv4L7Xdm4GjlZn9b10Z5x-TYyznWMo8kJhCMFQs08EZeWL2eYHNlfYMd3abtAz166thI799K3VE3BfWi-FnHvJ4g9fGqxuoif2ddb77mcIKNZr8x3uTCUKFCFBlMZfZI8HgWm9mIYf5-vE74WhLoHE66SCRAs2V2aupT8_JC1gAxy2w.zHIm-JR1-VSmU9ObNOCcP07cP8JLhJOviBAAb1VbyuU&amp;dib_tag=se&amp;keywords=buck+converter+12v+to+5v&amp;qid=1785351091&amp;sprefix=buck+converter+12v+to+5v%2Caps%2C192&amp;sr=8-5-spons&amp;aref=JMKHTNNt9C&amp;sp_csd=d2lkZ2V0TmFtZT1zcF9hdGY&amp;psc=1</t>
  </si>
  <si>
    <t>nappe liasson for camera raspberry</t>
  </si>
  <si>
    <t>https://www.amazon.fr/ZDE-c%C3%A2bles-dextension-Raspberry-broches/dp/B0DQ9KYNB3/ref=sr_1_1?__mk_fr_FR=%C3%85M%C3%85%C5%BD%C3%95%C3%91&amp;crid=1BOMY5G0H51Z9&amp;dib=eyJ2IjoiMSJ9.WNg94zZ-TlK19ISPcirMs-yM_dyGM9JYfwL2G4b1S_HmJ9rjkFvic4xdmm8nKkV162oWuiHfaKxSk11Wcc11_iTDsgb-3icnieygXT7hV-bXHPWQC40kpZM-uaCEch8HpPHeUIzdvjLJqHiT6qSpnYV8OY3cEF6lnS-eyLPBbIYGXMfDm3VZoxh5c-2YAnlT9V1qT48DJ01bITRE7L4VxaeAfV1RV8damckRgubmDFz-_EN9c64RY21-wfqrukZB9Mndv8wGmxzzmvuY4u5OyASpmTqtv_XVr_pYQkPZth8.mZV3KpFTuY6fDAzCK65qgFVQDXoEgIxvSbCD0PcadAI&amp;dib_tag=se&amp;keywords=Camera+Cable+22+-+16+pin+15cm&amp;qid=1785352991&amp;sprefix=camera+cable+22+-+16+pin+15cm%2Caps%2C275&amp;sr=8-1</t>
  </si>
  <si>
    <t>15 to 22 pin *2</t>
  </si>
  <si>
    <t>https://shop.allnetchina.cn/products/copy-of-radxa-zero-3w</t>
  </si>
  <si>
    <t>radxa zero 3w 8g</t>
  </si>
  <si>
    <t>test security of  cables</t>
  </si>
  <si>
    <t>multimetre</t>
  </si>
  <si>
    <t>https://www.amazon.fr/Multim%C3%A8tre-num%C3%A9rique-AstroAI-amplificateur-tension/dp/B0GJSKBLDJ/ref=sr_1_4_sspa?adgrpid=56876276100&amp;dib=eyJ2IjoiMSJ9.ktKD5LoZQik1wY6BPxvVpSQGxS9q9GoMQQAUb9U3ovOksGAeGcMLF7NtD-uERasychc3ZW-dvqptNV6Dz7dI4c5cXIKsQhVX4FCgvoq8BFzm0snaZK75eqPQn2BiEWpwaQ0__teaPrhJeCGNZ1VsorA8fAh7M7lnpLNJ6laIuhdMr-yr2JN_FhZVe4f2OB1bBuSlpjnRFANGUoWAw_agLdQOQeCaGXcfS8ve10JeeFF2qaDPAIXQ4xagV-hxVxjDPxLGBYtcTZq2Ci2esUSw77ljSQZe9K5oQk37Hnp60-4.5vvj-PSmZYtCaZ4YPx0qaYZHUjcabUnNwR8xWmS0gS4&amp;dib_tag=se&amp;hvadid=399020185163&amp;hvdev=c&amp;hvexpln=0&amp;hvlocphy=9056376&amp;hvnetw=g&amp;hvocijid=18388848572569088791--&amp;hvqmt=e&amp;hvrand=18388848572569088791&amp;hvtargid=kwd-298260684668&amp;hydadcr=23866_1973363&amp;keywords=multimetre&amp;mcid=169a13b835783477a1cb33094e97f159&amp;qid=1785353812&amp;sr=8-4-spons&amp;aref=S1WXgRpVLL&amp;sp_csd=d2lkZ2V0TmFtZT1zcF9hdGY&amp;th=1</t>
  </si>
  <si>
    <t>test before soldering</t>
  </si>
  <si>
    <t xml:space="preserve"> </t>
  </si>
  <si>
    <t>dupont wire ( m/F m/m f/f i dunno what will i need)</t>
  </si>
  <si>
    <t>https://www.amazon.fr/Elegoo-Breadboard-Femelle-Longueur-Arduino/dp/B01JD5WCG2/ref=sr_1_2_sspa?__mk_fr_FR=%C3%85M%C3%85%C5%BD%C3%95%C3%91&amp;crid=3JOJRK0HMI602&amp;dib=eyJ2IjoiMSJ9.cjmjAB8qRNR9Llwct3Zm97Aqo2A0HAgzQaA1b2Aq9uYW8ULfWXfXo10D8AAMde0vyD_YgVaP2W5jQexhdbupMWziEBnJLBrotK4IxoJ-NdKIM5KgutYZcZ1s1iJuUmOukK4yOUoi_t3uqPJRRad0xVbAjkuEnpJL0XMaOd9VYy6s2hCLopmKEVJ8HBaP16bI_YC3PeIlqWSfwO7zG5Al_s7ycMFDEzSxiKgbavldiO62R2u4p75fieQhm9BsHatjAlxOXhKWC0BezHz2Aw1O0OD0yYWNE4R6k0wNUq54R9M.ZrF5cVuyhKWn0xv0Z7QQybRsD5pSABfWzEUEHtHMvFI&amp;dib_tag=se&amp;keywords=fil+dupont&amp;qid=1785355088&amp;s=industrial&amp;sprefix=fil+dupon%2Cindustrial%2C227&amp;sr=1-2-spons&amp;aref=pTIwZ5WZPw&amp;sp_csd=d2lkZ2V0TmFtZT1zcF9hdGY&amp;psc=1</t>
  </si>
  <si>
    <t>adaptator radxa</t>
  </si>
  <si>
    <t>heatsink radxa</t>
  </si>
  <si>
    <t>offical radxa sink</t>
  </si>
  <si>
    <t>https://fr.aliexpress.com/item/1005007877260001.html?src=google&amp;src=google&amp;albch=shopping&amp;acnt=248-630-5778&amp;isdl=y&amp;slnk=&amp;plac=&amp;mtctp=&amp;albbt=Google_7_shopping&amp;aff_platform=google&amp;aff_short_key=UneMJZVf&amp;gclsrc=aw.ds&amp;albagn=888888&amp;ds_e_adid=&amp;ds_e_matchtype=&amp;ds_e_device=c&amp;ds_e_network=x&amp;ds_e_product_group_id=&amp;ds_e_product_id=fr1005007877260001&amp;ds_e_product_merchant_id=5308501960&amp;ds_e_product_country=FR&amp;ds_e_product_language=fr&amp;ds_e_product_channel=online&amp;ds_e_product_store_id=&amp;ds_url_v=2&amp;albcp=19000710609&amp;albag=&amp;isSmbAutoCall=false&amp;needSmbHouyi=false&amp;gad_source=1&amp;gad_campaignid=17725339642&amp;gbraid=0AAAAACWaBwfbMtjuHuH9sKMRFTR6VWeyC&amp;gclid=CjwKCAjwsrbTBhAvEiwA0Bpp4WDmzex7pFg3VXQipea3RI-dKi4ltS-8VCTG-LDA_uhxWgABAm99PhoCcgwQAvD_BwE</t>
  </si>
  <si>
    <t>radxa ventilateur</t>
  </si>
  <si>
    <t>3.3v only found in aliexpress i cant found a ethic brand</t>
  </si>
  <si>
    <t>https://fr.aliexpress.com/item/1005006054254172.html</t>
  </si>
  <si>
    <t>cable waveshare and buck</t>
  </si>
  <si>
    <t>https://www.amazon.fr/Amazon-Basics-tablettes-ordinateurs-portables/dp/B01GGKZ2SC?th=1</t>
  </si>
  <si>
    <t>usb-c to usb-c x 2 data en charge</t>
  </si>
  <si>
    <t>speaker kit</t>
  </si>
  <si>
    <t>https://www.amazon.com/dp/B0GV33LRR5?lv=shuf&amp;channelId=500&amp;plpRedirect=mhFallback&amp;th=1</t>
  </si>
  <si>
    <t>kit I2S audio amplifer + speaker</t>
  </si>
  <si>
    <t>ldar</t>
  </si>
  <si>
    <t xml:space="preserve">stt </t>
  </si>
  <si>
    <t>microphone</t>
  </si>
  <si>
    <t>https://www.amazon.fr/Microphone-Omnidirectionnel-Enregistrement-Transmission-Electrique/dp/B0GYYQBS34/ref=sr_1_1_sspa?adgrpid=62171879496&amp;dib=eyJ2IjoiMSJ9.brjZqMMDrrRHvnt_m92c34XSqXmV6OV8aO_jOHQzQEJoo9L83dbjyDPmZu-9vNcwBCad-wm0-8rAalVFW68LukKTDbUAHGbDvZdPtU0Knoflk8QT5s1Wd4_b3UiflWXi2LAk6CqeB4mHHXD6hPf3BWNeDmNnerYjqSSUHs_mF8k-ED93Ze0C-jmlsoUYKJf38KapQQ4NLf_QJS3cHoogIp2CgQh2GXM0Rn3bNnv1HbZxrxbD8NlIImi2g2g6TfXHPQzhZmiejd5I8zpEfz_nnJYNQKpgDGFFcj3pRuLrZP0.rojuTPoUDQE2-asi-jPvjvAcJTd5-AH8Wpvfk8cW4jw&amp;dib_tag=se&amp;hvadid=310714367915&amp;hvdev=c&amp;hvexpln=0&amp;hvlocphy=9055055&amp;hvnetw=g&amp;hvocijid=1494477379405652865--&amp;hvqmt=e&amp;hvrand=1494477379405652865&amp;hvtargid=kwd-528219262780&amp;hydadcr=14030_1730247&amp;keywords=inmp441&amp;mcid=0a7caf62588f36e7bcadcf677d060076&amp;qid=1786228193&amp;sr=8-1-spons&amp;aref=YFzPhMXmpy&amp;sp_csd=d2lkZ2V0TmFtZT1zcF9hdGY&amp;psc=1</t>
  </si>
  <si>
    <t>https://www.gotronic.fr/art-capteur-de-distance-rplidar-a1m8-29031.htm</t>
  </si>
  <si>
    <t>https://www.amazon.com/dp/B0DQBHNT9C?lv=shuf&amp;channelId=500&amp;plpRedirect=mhFallback</t>
  </si>
  <si>
    <t>Nappe CSI / MIPI 15 to 22 30cm</t>
  </si>
  <si>
    <t>https://www.amazon.fr/Helilyco-%C3%89cran-Arduino-%C3%A9cran-esp32/dp/B0H71WGG1S/ref=sr_1_5?dib=eyJ2IjoiMSJ9.jdwm-TZBxVLh94ZZ6vdGqkd0IDZyWgyI5k35lOhz0Rqs2-ERSIOIV6dX7_JQHov_mUNFY8cUMQzvEmGn9a99Pn8P9s9tHme_BT2SJNMd7Lj_vWF61ICik9WixTCkjNFynJ9A4CLs8ZY_V6hdYcMBypCWwRTDSoGC0D08dJDKqSP16ezMpnZjBmKSaDxYJIvvhG13kHSV0hf0y4s5TzENkchtSzIRhupK-RzV1Ewv7VmkHYEuFFg7Ej3L-0MpVSPJOf13TrUUwRDuvKuRQyTK5NX72SAApJO4Y5-bvVu5w9w.atJvDhClP-y_iAZagxuVesYT1XkKdKvbQ4Xun9vkWqQ&amp;dib_tag=se&amp;keywords=oled%2B128x64&amp;qid=1786820824&amp;refinements=p_36%3A-1000&amp;rnid=2492331031&amp;sr=8-5&amp;th=1</t>
  </si>
  <si>
    <t>0.96 pouc 128x64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</si>
</sst>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333333"/>
      <name val="Aptos Display"/>
      <family val="2"/>
      <scheme val="major"/>
    </font>
    <font>
      <sz val="11"/>
      <color rgb="FF232323"/>
      <name val="Arial"/>
      <family val="2"/>
    </font>
    <font>
      <sz val="12"/>
      <color rgb="FF0F1111"/>
      <name val="Arial"/>
      <family val="2"/>
    </font>
    <font>
      <sz val="11"/>
      <color rgb="FF212529"/>
      <name val="Aptos Narrow"/>
      <family val="2"/>
      <scheme val="minor"/>
    </font>
    <font>
      <sz val="11"/>
      <color rgb="FF0F111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allnetchina.cn/products/copy-of-radxa-zero-3w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gotronic.fr/art-module-9-dof-bno055-27795.htm" TargetMode="External"/><Relationship Id="rId7" Type="http://schemas.openxmlformats.org/officeDocument/2006/relationships/hyperlink" Target="https://www.gotronic.fr/art-capteur-de-distance-rplidar-a1m8-29031.htm" TargetMode="External"/><Relationship Id="rId12" Type="http://schemas.openxmlformats.org/officeDocument/2006/relationships/hyperlink" Target="https://www.amazon.com/dp/B0GV33LRR5?lv=shuf&amp;channelId=500&amp;plpRedirect=mhFallback&amp;th=1" TargetMode="External"/><Relationship Id="rId2" Type="http://schemas.openxmlformats.org/officeDocument/2006/relationships/hyperlink" Target="https://chinahobbyline.com/fr/products/cnhl-3300mah-11-1v-3s-40c-lipo-battery-with-xt60-plug?_pos=1&amp;_sid=f62e50312&amp;_ss=r" TargetMode="External"/><Relationship Id="rId1" Type="http://schemas.openxmlformats.org/officeDocument/2006/relationships/hyperlink" Target="https://www.amazon.com/dp/B0GTPS8JR7?th=1" TargetMode="External"/><Relationship Id="rId6" Type="http://schemas.openxmlformats.org/officeDocument/2006/relationships/hyperlink" Target="https://www.gotronic.fr/art-entretoise-m-f-20mm-bmf20-6549.htm" TargetMode="External"/><Relationship Id="rId11" Type="http://schemas.openxmlformats.org/officeDocument/2006/relationships/hyperlink" Target="https://www.amazon.fr/Amazon-Basics-tablettes-ordinateurs-portables/dp/B01GGKZ2SC?th=1" TargetMode="External"/><Relationship Id="rId5" Type="http://schemas.openxmlformats.org/officeDocument/2006/relationships/hyperlink" Target="https://www.amazon.com/dp/B0DQBHNT9C?lv=shuf&amp;channelId=500&amp;plpRedirect=mhFallback" TargetMode="External"/><Relationship Id="rId10" Type="http://schemas.openxmlformats.org/officeDocument/2006/relationships/hyperlink" Target="https://fr.aliexpress.com/item/1005006054254172.html" TargetMode="External"/><Relationship Id="rId4" Type="http://schemas.openxmlformats.org/officeDocument/2006/relationships/hyperlink" Target="https://www.amazon.fr/Convertisseur-Binghe-Reconnaissance-Compatible-Arduino/dp/B0DJX9GVX6/ref=sr_1_5_sspa?__mk_fr_FR=%C3%85M%C3%85%C5%BD%C3%95%C3%91&amp;crid=HQQ8XQUDPPHV&amp;dib=eyJ2IjoiMSJ9.kFvMDwPnhb169LU9cfq_j6Az3BvHQE5mAWWiirbf3OeW2J6pNaifAlx6Hyu-CaFiyeJcUP3ZfkN8VmXvsfUKKVCBlt5DKaFItbLPtFh_vYK84-EH2y4Z-mex-sqrcv4L7Xdm4GjlZn9b10Z5x-TYyznWMo8kJhCMFQs08EZeWL2eYHNlfYMd3abtAz166thI799K3VE3BfWi-FnHvJ4g9fGqxuoif2ddb77mcIKNZr8x3uTCUKFCFBlMZfZI8HgWm9mIYf5-vE74WhLoHE66SCRAs2V2aupT8_JC1gAxy2w.zHIm-JR1-VSmU9ObNOCcP07cP8JLhJOviBAAb1VbyuU&amp;dib_tag=se&amp;keywords=buck+converter+12v+to+5v&amp;qid=1785351091&amp;sprefix=buck+converter+12v+to+5v%2Caps%2C192&amp;sr=8-5-spons&amp;aref=JMKHTNNt9C&amp;sp_csd=d2lkZ2V0TmFtZT1zcF9hdGY&amp;psc=1" TargetMode="External"/><Relationship Id="rId9" Type="http://schemas.openxmlformats.org/officeDocument/2006/relationships/hyperlink" Target="https://www.amazon.fr/Connecteur-Batterie-Voitures-Panneaux-Solaires/dp/B0FS1GLND9/ref=sr_1_1_sspa?dib=eyJ2IjoiMSJ9.zziqtRqTCZHFpD9zjSpZVFtxCCfnnRgFxksWnknbxn1GRH1UJ6XpJtt_Vcu8ADqOnQna2B2yiNtsRKtvAK6LwIWeN9X_hEDqseBW0A_fiPR9l6DS8Wc2rom16NN6PnCzfM4ScBc4anrZYYGjknPjUDgcD7HUZinc62Axj1rsbLkoZd23G-WrX0rE3tgbCObraIrzWAPel4HExlAUcmYLfUayg5dWkhsrpbPLXCYvqHBJHL4VUs9RHrPKzGoDsqwi-9hAi6nBiMljIIqQch-w0pW69gGtM288_YyI0XJ02b8.8HMfizOuaLkOGqrsoJ6HH3iXYA0Rvxn1Ls6WQmr4myE&amp;dib_tag=se&amp;keywords=Male+Xt60+Connector&amp;qid=1784586789&amp;sr=8-1-spons&amp;aref=xOMZOQT4kc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84E1-5605-4D40-8D4F-5DD6771B34B3}">
  <dimension ref="A1:D75"/>
  <sheetViews>
    <sheetView tabSelected="1" topLeftCell="A29" workbookViewId="0">
      <selection activeCell="B32" sqref="B32"/>
    </sheetView>
  </sheetViews>
  <sheetFormatPr baseColWidth="10" defaultRowHeight="14.5" x14ac:dyDescent="0.35"/>
  <cols>
    <col min="1" max="1" width="37" customWidth="1"/>
    <col min="2" max="2" width="41.6328125" customWidth="1"/>
    <col min="3" max="3" width="15.7265625" customWidth="1"/>
    <col min="4" max="4" width="60.81640625" customWidth="1"/>
  </cols>
  <sheetData>
    <row r="1" spans="1:4" x14ac:dyDescent="0.35">
      <c r="A1" t="s">
        <v>14</v>
      </c>
      <c r="B1" t="s">
        <v>15</v>
      </c>
      <c r="C1" t="s">
        <v>16</v>
      </c>
      <c r="D1" t="s">
        <v>17</v>
      </c>
    </row>
    <row r="2" spans="1:4" x14ac:dyDescent="0.35">
      <c r="A2" t="s">
        <v>1</v>
      </c>
    </row>
    <row r="4" spans="1:4" ht="43.5" x14ac:dyDescent="0.35">
      <c r="A4" t="s">
        <v>0</v>
      </c>
      <c r="B4" s="7" t="s">
        <v>76</v>
      </c>
      <c r="C4">
        <f>PRODUCT(146*2)</f>
        <v>292</v>
      </c>
      <c r="D4" t="s">
        <v>45</v>
      </c>
    </row>
    <row r="5" spans="1:4" x14ac:dyDescent="0.35">
      <c r="A5" t="s">
        <v>78</v>
      </c>
      <c r="B5" t="s">
        <v>79</v>
      </c>
      <c r="C5">
        <v>9</v>
      </c>
      <c r="D5" t="s">
        <v>77</v>
      </c>
    </row>
    <row r="6" spans="1:4" x14ac:dyDescent="0.35">
      <c r="A6" t="s">
        <v>3</v>
      </c>
      <c r="C6">
        <f>SUM(C4, C5,)</f>
        <v>301</v>
      </c>
    </row>
    <row r="8" spans="1:4" x14ac:dyDescent="0.35">
      <c r="A8" t="s">
        <v>4</v>
      </c>
    </row>
    <row r="9" spans="1:4" x14ac:dyDescent="0.35">
      <c r="A9" t="s">
        <v>5</v>
      </c>
      <c r="B9" t="s">
        <v>24</v>
      </c>
      <c r="C9">
        <v>17</v>
      </c>
      <c r="D9" s="1" t="s">
        <v>25</v>
      </c>
    </row>
    <row r="10" spans="1:4" x14ac:dyDescent="0.35">
      <c r="A10" t="s">
        <v>26</v>
      </c>
      <c r="B10" t="s">
        <v>28</v>
      </c>
      <c r="C10">
        <v>36</v>
      </c>
      <c r="D10" t="s">
        <v>27</v>
      </c>
    </row>
    <row r="11" spans="1:4" x14ac:dyDescent="0.35">
      <c r="A11" t="s">
        <v>6</v>
      </c>
      <c r="B11" t="s">
        <v>29</v>
      </c>
      <c r="C11">
        <v>0</v>
      </c>
    </row>
    <row r="12" spans="1:4" x14ac:dyDescent="0.35">
      <c r="A12" t="s">
        <v>2</v>
      </c>
    </row>
    <row r="13" spans="1:4" x14ac:dyDescent="0.35">
      <c r="A13" t="s">
        <v>3</v>
      </c>
      <c r="C13">
        <f>SUM(C9:C11)</f>
        <v>53</v>
      </c>
    </row>
    <row r="15" spans="1:4" x14ac:dyDescent="0.35">
      <c r="A15" t="s">
        <v>7</v>
      </c>
    </row>
    <row r="16" spans="1:4" x14ac:dyDescent="0.35">
      <c r="A16" t="s">
        <v>8</v>
      </c>
      <c r="B16" t="s">
        <v>86</v>
      </c>
      <c r="C16">
        <v>56</v>
      </c>
      <c r="D16" s="1" t="s">
        <v>85</v>
      </c>
    </row>
    <row r="17" spans="1:4" x14ac:dyDescent="0.35">
      <c r="A17" t="s">
        <v>43</v>
      </c>
      <c r="B17" t="s">
        <v>44</v>
      </c>
      <c r="C17">
        <v>12</v>
      </c>
      <c r="D17" t="s">
        <v>58</v>
      </c>
    </row>
    <row r="18" spans="1:4" x14ac:dyDescent="0.35">
      <c r="A18" t="s">
        <v>95</v>
      </c>
      <c r="B18" t="s">
        <v>96</v>
      </c>
      <c r="C18">
        <v>5</v>
      </c>
      <c r="D18" t="s">
        <v>97</v>
      </c>
    </row>
    <row r="19" spans="1:4" x14ac:dyDescent="0.35">
      <c r="A19" t="s">
        <v>98</v>
      </c>
      <c r="B19" t="s">
        <v>99</v>
      </c>
      <c r="C19">
        <v>10</v>
      </c>
      <c r="D19" s="1" t="s">
        <v>100</v>
      </c>
    </row>
    <row r="25" spans="1:4" ht="15" customHeight="1" x14ac:dyDescent="0.35">
      <c r="A25" t="s">
        <v>3</v>
      </c>
      <c r="C25">
        <f>SUM(C16:C19)</f>
        <v>83</v>
      </c>
    </row>
    <row r="28" spans="1:4" x14ac:dyDescent="0.35">
      <c r="A28" t="s">
        <v>9</v>
      </c>
    </row>
    <row r="29" spans="1:4" x14ac:dyDescent="0.35">
      <c r="A29" t="s">
        <v>10</v>
      </c>
      <c r="B29" s="5" t="s">
        <v>36</v>
      </c>
      <c r="C29">
        <v>32</v>
      </c>
      <c r="D29" s="1" t="s">
        <v>37</v>
      </c>
    </row>
    <row r="30" spans="1:4" x14ac:dyDescent="0.35">
      <c r="A30" t="s">
        <v>11</v>
      </c>
      <c r="B30" s="5" t="s">
        <v>107</v>
      </c>
      <c r="C30">
        <v>120</v>
      </c>
      <c r="D30" s="1" t="s">
        <v>111</v>
      </c>
    </row>
    <row r="31" spans="1:4" ht="15.5" x14ac:dyDescent="0.35">
      <c r="A31" t="s">
        <v>33</v>
      </c>
      <c r="B31" s="4" t="s">
        <v>34</v>
      </c>
      <c r="C31">
        <v>6</v>
      </c>
      <c r="D31" t="s">
        <v>35</v>
      </c>
    </row>
    <row r="32" spans="1:4" x14ac:dyDescent="0.35">
      <c r="A32" t="s">
        <v>46</v>
      </c>
      <c r="B32" t="s">
        <v>115</v>
      </c>
      <c r="C32">
        <v>7</v>
      </c>
      <c r="D32" s="1" t="s">
        <v>114</v>
      </c>
    </row>
    <row r="33" spans="1:4" x14ac:dyDescent="0.35">
      <c r="A33" t="s">
        <v>47</v>
      </c>
      <c r="B33" t="s">
        <v>48</v>
      </c>
      <c r="C33">
        <v>35</v>
      </c>
      <c r="D33" s="1" t="s">
        <v>59</v>
      </c>
    </row>
    <row r="34" spans="1:4" x14ac:dyDescent="0.35">
      <c r="A34" t="s">
        <v>60</v>
      </c>
      <c r="B34" s="8" t="s">
        <v>113</v>
      </c>
      <c r="C34">
        <v>9</v>
      </c>
      <c r="D34" s="1" t="s">
        <v>112</v>
      </c>
    </row>
    <row r="35" spans="1:4" x14ac:dyDescent="0.35">
      <c r="A35" t="s">
        <v>104</v>
      </c>
      <c r="B35" t="s">
        <v>106</v>
      </c>
      <c r="C35">
        <v>9</v>
      </c>
      <c r="D35" s="1" t="s">
        <v>105</v>
      </c>
    </row>
    <row r="36" spans="1:4" x14ac:dyDescent="0.35">
      <c r="A36" t="s">
        <v>108</v>
      </c>
      <c r="B36" t="s">
        <v>109</v>
      </c>
      <c r="C36">
        <v>9</v>
      </c>
      <c r="D36" t="s">
        <v>110</v>
      </c>
    </row>
    <row r="38" spans="1:4" x14ac:dyDescent="0.35">
      <c r="A38" t="s">
        <v>3</v>
      </c>
      <c r="C38">
        <f>SUM(C29:C36)</f>
        <v>227</v>
      </c>
    </row>
    <row r="41" spans="1:4" x14ac:dyDescent="0.35">
      <c r="A41" t="s">
        <v>18</v>
      </c>
    </row>
    <row r="42" spans="1:4" x14ac:dyDescent="0.35">
      <c r="A42" t="s">
        <v>19</v>
      </c>
    </row>
    <row r="43" spans="1:4" x14ac:dyDescent="0.35">
      <c r="A43" t="s">
        <v>101</v>
      </c>
      <c r="B43" t="s">
        <v>103</v>
      </c>
      <c r="C43">
        <f>PRODUCT(8,2)</f>
        <v>16</v>
      </c>
      <c r="D43" s="1" t="s">
        <v>102</v>
      </c>
    </row>
    <row r="44" spans="1:4" x14ac:dyDescent="0.35">
      <c r="A44" t="s">
        <v>21</v>
      </c>
      <c r="B44" t="s">
        <v>22</v>
      </c>
      <c r="C44">
        <v>17</v>
      </c>
      <c r="D44" t="s">
        <v>23</v>
      </c>
    </row>
    <row r="45" spans="1:4" x14ac:dyDescent="0.35">
      <c r="A45" t="s">
        <v>94</v>
      </c>
      <c r="B45" s="2" t="s">
        <v>80</v>
      </c>
      <c r="C45">
        <v>17</v>
      </c>
      <c r="D45" s="1" t="s">
        <v>81</v>
      </c>
    </row>
    <row r="46" spans="1:4" ht="28" x14ac:dyDescent="0.35">
      <c r="A46" t="s">
        <v>30</v>
      </c>
      <c r="B46" s="3" t="s">
        <v>31</v>
      </c>
      <c r="C46">
        <v>17</v>
      </c>
      <c r="D46" t="s">
        <v>32</v>
      </c>
    </row>
    <row r="47" spans="1:4" ht="28" x14ac:dyDescent="0.35">
      <c r="A47" t="s">
        <v>38</v>
      </c>
      <c r="B47" s="6" t="s">
        <v>75</v>
      </c>
      <c r="C47">
        <v>17</v>
      </c>
      <c r="D47" t="s">
        <v>74</v>
      </c>
    </row>
    <row r="49" spans="1:4" x14ac:dyDescent="0.35">
      <c r="A49" t="s">
        <v>72</v>
      </c>
      <c r="C49">
        <v>7</v>
      </c>
      <c r="D49" s="1" t="s">
        <v>73</v>
      </c>
    </row>
    <row r="50" spans="1:4" x14ac:dyDescent="0.35">
      <c r="A50" t="s">
        <v>82</v>
      </c>
      <c r="B50" t="s">
        <v>84</v>
      </c>
      <c r="C50">
        <v>9</v>
      </c>
      <c r="D50" t="s">
        <v>83</v>
      </c>
    </row>
    <row r="51" spans="1:4" x14ac:dyDescent="0.35">
      <c r="A51" t="s">
        <v>87</v>
      </c>
      <c r="B51" t="s">
        <v>88</v>
      </c>
      <c r="C51">
        <v>18</v>
      </c>
      <c r="D51" t="s">
        <v>89</v>
      </c>
    </row>
    <row r="52" spans="1:4" x14ac:dyDescent="0.35">
      <c r="A52" t="s">
        <v>90</v>
      </c>
      <c r="B52" t="s">
        <v>92</v>
      </c>
      <c r="C52">
        <v>9</v>
      </c>
      <c r="D52" t="s">
        <v>93</v>
      </c>
    </row>
    <row r="53" spans="1:4" x14ac:dyDescent="0.35">
      <c r="A53" t="s">
        <v>3</v>
      </c>
      <c r="C53">
        <f>SUM(C42:C52)</f>
        <v>127</v>
      </c>
    </row>
    <row r="58" spans="1:4" x14ac:dyDescent="0.35">
      <c r="A58" t="s">
        <v>49</v>
      </c>
      <c r="B58" t="s">
        <v>91</v>
      </c>
    </row>
    <row r="59" spans="1:4" x14ac:dyDescent="0.35">
      <c r="A59" t="s">
        <v>55</v>
      </c>
      <c r="B59" s="6" t="s">
        <v>56</v>
      </c>
      <c r="C59">
        <v>10</v>
      </c>
      <c r="D59" t="s">
        <v>57</v>
      </c>
    </row>
    <row r="60" spans="1:4" x14ac:dyDescent="0.35">
      <c r="A60" t="s">
        <v>50</v>
      </c>
      <c r="B60" t="s">
        <v>71</v>
      </c>
      <c r="C60">
        <v>2.4</v>
      </c>
      <c r="D60" s="1" t="s">
        <v>52</v>
      </c>
    </row>
    <row r="61" spans="1:4" x14ac:dyDescent="0.35">
      <c r="A61" t="s">
        <v>62</v>
      </c>
      <c r="B61" s="6" t="s">
        <v>63</v>
      </c>
      <c r="C61">
        <v>20</v>
      </c>
      <c r="D61" t="s">
        <v>64</v>
      </c>
    </row>
    <row r="62" spans="1:4" ht="15.5" x14ac:dyDescent="0.35">
      <c r="A62" t="s">
        <v>66</v>
      </c>
      <c r="B62" s="4" t="s">
        <v>65</v>
      </c>
      <c r="C62">
        <v>10</v>
      </c>
      <c r="D62" t="s">
        <v>67</v>
      </c>
    </row>
    <row r="63" spans="1:4" ht="28" x14ac:dyDescent="0.35">
      <c r="A63" t="s">
        <v>68</v>
      </c>
      <c r="B63" s="6" t="s">
        <v>70</v>
      </c>
      <c r="C63">
        <v>14</v>
      </c>
      <c r="D63" t="s">
        <v>69</v>
      </c>
    </row>
    <row r="64" spans="1:4" x14ac:dyDescent="0.35">
      <c r="A64" t="s">
        <v>51</v>
      </c>
      <c r="B64" t="s">
        <v>53</v>
      </c>
      <c r="C64">
        <v>0</v>
      </c>
      <c r="D64" t="s">
        <v>54</v>
      </c>
    </row>
    <row r="65" spans="1:4" x14ac:dyDescent="0.35">
      <c r="D65" s="1"/>
    </row>
    <row r="66" spans="1:4" x14ac:dyDescent="0.35">
      <c r="A66" t="s">
        <v>3</v>
      </c>
      <c r="C66">
        <f>SUM(C59:C65)</f>
        <v>56.4</v>
      </c>
    </row>
    <row r="67" spans="1:4" x14ac:dyDescent="0.35">
      <c r="A67" t="s">
        <v>20</v>
      </c>
    </row>
    <row r="70" spans="1:4" x14ac:dyDescent="0.35">
      <c r="A70" t="s">
        <v>12</v>
      </c>
    </row>
    <row r="71" spans="1:4" x14ac:dyDescent="0.35">
      <c r="A71" t="s">
        <v>13</v>
      </c>
    </row>
    <row r="73" spans="1:4" x14ac:dyDescent="0.35">
      <c r="C73" t="s">
        <v>61</v>
      </c>
    </row>
    <row r="74" spans="1:4" x14ac:dyDescent="0.35">
      <c r="A74" t="s">
        <v>39</v>
      </c>
      <c r="B74" t="s">
        <v>40</v>
      </c>
      <c r="C74">
        <f>SUM(C6,C13,C25,C38,C53,C66,)</f>
        <v>847.4</v>
      </c>
    </row>
    <row r="75" spans="1:4" x14ac:dyDescent="0.35">
      <c r="A75" t="s">
        <v>42</v>
      </c>
      <c r="B75" t="s">
        <v>41</v>
      </c>
    </row>
  </sheetData>
  <hyperlinks>
    <hyperlink ref="D32" r:id="rId1" display="https://www.amazon.com/dp/B0GTPS8JR7?th=1" xr:uid="{9289B590-F30A-4593-9C30-D7D41A61602F}"/>
    <hyperlink ref="D9" r:id="rId2" xr:uid="{B8E574BC-7EDC-4E8F-A62E-3439BFFEFF11}"/>
    <hyperlink ref="D29" r:id="rId3" xr:uid="{A0752B03-C1AE-41B4-A816-A07488D6544D}"/>
    <hyperlink ref="D45" r:id="rId4" display="https://www.amazon.fr/Convertisseur-Binghe-Reconnaissance-Compatible-Arduino/dp/B0DJX9GVX6/ref=sr_1_5_sspa?__mk_fr_FR=%C3%85M%C3%85%C5%BD%C3%95%C3%91&amp;crid=HQQ8XQUDPPHV&amp;dib=eyJ2IjoiMSJ9.kFvMDwPnhb169LU9cfq_j6Az3BvHQE5mAWWiirbf3OeW2J6pNaifAlx6Hyu-CaFiyeJcUP3ZfkN8VmXvsfUKKVCBlt5DKaFItbLPtFh_vYK84-EH2y4Z-mex-sqrcv4L7Xdm4GjlZn9b10Z5x-TYyznWMo8kJhCMFQs08EZeWL2eYHNlfYMd3abtAz166thI799K3VE3BfWi-FnHvJ4g9fGqxuoif2ddb77mcIKNZr8x3uTCUKFCFBlMZfZI8HgWm9mIYf5-vE74WhLoHE66SCRAs2V2aupT8_JC1gAxy2w.zHIm-JR1-VSmU9ObNOCcP07cP8JLhJOviBAAb1VbyuU&amp;dib_tag=se&amp;keywords=buck+converter+12v+to+5v&amp;qid=1785351091&amp;sprefix=buck+converter+12v+to+5v%2Caps%2C192&amp;sr=8-5-spons&amp;aref=JMKHTNNt9C&amp;sp_csd=d2lkZ2V0TmFtZT1zcF9hdGY&amp;psc=1" xr:uid="{CC730371-9F52-4255-965E-01643FFC55A2}"/>
    <hyperlink ref="D34" r:id="rId5" xr:uid="{FE7A531F-AAA0-4944-A62B-0602CF337946}"/>
    <hyperlink ref="D60" r:id="rId6" xr:uid="{2C573CFC-B095-4D27-8EFA-A474BEAC73AE}"/>
    <hyperlink ref="D30" r:id="rId7" xr:uid="{EE78AE99-F2A4-47C9-8866-6600AEDD9D7A}"/>
    <hyperlink ref="D16" r:id="rId8" xr:uid="{402AD104-0565-40F3-B0E3-E1836717E949}"/>
    <hyperlink ref="D49" r:id="rId9" display="https://www.amazon.fr/Connecteur-Batterie-Voitures-Panneaux-Solaires/dp/B0FS1GLND9/ref=sr_1_1_sspa?dib=eyJ2IjoiMSJ9.zziqtRqTCZHFpD9zjSpZVFtxCCfnnRgFxksWnknbxn1GRH1UJ6XpJtt_Vcu8ADqOnQna2B2yiNtsRKtvAK6LwIWeN9X_hEDqseBW0A_fiPR9l6DS8Wc2rom16NN6PnCzfM4ScBc4anrZYYGjknPjUDgcD7HUZinc62Axj1rsbLkoZd23G-WrX0rE3tgbCObraIrzWAPel4HExlAUcmYLfUayg5dWkhsrpbPLXCYvqHBJHL4VUs9RHrPKzGoDsqwi-9hAi6nBiMljIIqQch-w0pW69gGtM288_YyI0XJ02b8.8HMfizOuaLkOGqrsoJ6HH3iXYA0Rvxn1Ls6WQmr4myE&amp;dib_tag=se&amp;keywords=Male+Xt60+Connector&amp;qid=1784586789&amp;sr=8-1-spons&amp;aref=xOMZOQT4kc&amp;sp_csd=d2lkZ2V0TmFtZT1zcF9hdGY&amp;psc=1" xr:uid="{84CD557D-1F3C-4522-BE06-90E88C611D42}"/>
    <hyperlink ref="D19" r:id="rId10" xr:uid="{46B228BB-7079-4FD4-BF47-B3BFC5C94962}"/>
    <hyperlink ref="D43" r:id="rId11" xr:uid="{7C022256-2C79-4B2F-865F-DB9524102F7C}"/>
    <hyperlink ref="D35" r:id="rId12" xr:uid="{6D570FED-445F-46C4-9FE2-2CFB9C98A555}"/>
  </hyperlinks>
  <pageMargins left="0.7" right="0.7" top="0.75" bottom="0.75" header="0.3" footer="0.3"/>
  <pageSetup paperSize="9" orientation="portrait" horizontalDpi="0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sxay-barroso</dc:creator>
  <cp:lastModifiedBy>yannis sxay-barroso</cp:lastModifiedBy>
  <dcterms:created xsi:type="dcterms:W3CDTF">2026-07-15T19:45:09Z</dcterms:created>
  <dcterms:modified xsi:type="dcterms:W3CDTF">2026-08-16T02:19:34Z</dcterms:modified>
</cp:coreProperties>
</file>